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J/Desktop/Aglie Project PDF/"/>
    </mc:Choice>
  </mc:AlternateContent>
  <xr:revisionPtr revIDLastSave="0" documentId="8_{F28C1B90-0E84-BB4E-90C9-5DE27E160690}" xr6:coauthVersionLast="47" xr6:coauthVersionMax="47" xr10:uidLastSave="{00000000-0000-0000-0000-000000000000}"/>
  <bookViews>
    <workbookView xWindow="0" yWindow="0" windowWidth="28800" windowHeight="18000" tabRatio="818" activeTab="3" xr2:uid="{8A21DC95-A784-4AAF-BFF8-93F97351F3A9}"/>
  </bookViews>
  <sheets>
    <sheet name="1b) Project Portfolio" sheetId="9" r:id="rId1"/>
    <sheet name="2) Kanban Board" sheetId="10" r:id="rId2"/>
    <sheet name="3) Risk Log" sheetId="5" r:id="rId3"/>
    <sheet name="4) Issue Log" sheetId="4" r:id="rId4"/>
    <sheet name="5) Sprint 1 - Planned vs Actual" sheetId="11" r:id="rId5"/>
    <sheet name="Risk Management Matrix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4" l="1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4" i="4"/>
  <c r="F28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5" i="5"/>
  <c r="F4" i="5"/>
</calcChain>
</file>

<file path=xl/sharedStrings.xml><?xml version="1.0" encoding="utf-8"?>
<sst xmlns="http://schemas.openxmlformats.org/spreadsheetml/2006/main" count="188" uniqueCount="171">
  <si>
    <t>Date Raised</t>
  </si>
  <si>
    <t>Risk ID</t>
  </si>
  <si>
    <t xml:space="preserve">3 - Medium </t>
  </si>
  <si>
    <t xml:space="preserve">4 - High </t>
  </si>
  <si>
    <t xml:space="preserve">5 - Very High </t>
  </si>
  <si>
    <t xml:space="preserve">1 - Very Low </t>
  </si>
  <si>
    <t>2 - Low</t>
  </si>
  <si>
    <t>IMPACT</t>
  </si>
  <si>
    <t>LIKELIHOOD</t>
  </si>
  <si>
    <t>RISK MANAGEMENT MATRIX</t>
  </si>
  <si>
    <t>R001</t>
  </si>
  <si>
    <t>R002</t>
  </si>
  <si>
    <t>R003</t>
  </si>
  <si>
    <t>R004</t>
  </si>
  <si>
    <t>R005</t>
  </si>
  <si>
    <t>R006</t>
  </si>
  <si>
    <t>R007</t>
  </si>
  <si>
    <t>R008</t>
  </si>
  <si>
    <t>R009</t>
  </si>
  <si>
    <t>R010</t>
  </si>
  <si>
    <t>R011</t>
  </si>
  <si>
    <t>R012</t>
  </si>
  <si>
    <t>R013</t>
  </si>
  <si>
    <t>R014</t>
  </si>
  <si>
    <t>R015</t>
  </si>
  <si>
    <t>R016</t>
  </si>
  <si>
    <t>R017</t>
  </si>
  <si>
    <t>R018</t>
  </si>
  <si>
    <t>R019</t>
  </si>
  <si>
    <t>R020</t>
  </si>
  <si>
    <t>R021</t>
  </si>
  <si>
    <t>R022</t>
  </si>
  <si>
    <t>R023</t>
  </si>
  <si>
    <t>R024</t>
  </si>
  <si>
    <t>R025</t>
  </si>
  <si>
    <t>5 - Very High</t>
  </si>
  <si>
    <r>
      <t>Risk Score</t>
    </r>
    <r>
      <rPr>
        <sz val="9"/>
        <color theme="1" tint="0.249977111117893"/>
        <rFont val="Arial"/>
        <family val="2"/>
      </rPr>
      <t xml:space="preserve"> 
(Impact x Likelihood)</t>
    </r>
  </si>
  <si>
    <r>
      <t xml:space="preserve">Description 
</t>
    </r>
    <r>
      <rPr>
        <sz val="10"/>
        <color theme="1" tint="0.249977111117893"/>
        <rFont val="Arial"/>
        <family val="2"/>
      </rPr>
      <t>(Cause &amp; Effect - Clearly describe what the risk is and what the impact is)</t>
    </r>
  </si>
  <si>
    <r>
      <t xml:space="preserve">Risk Owner
</t>
    </r>
    <r>
      <rPr>
        <sz val="10"/>
        <color theme="1" tint="0.249977111117893"/>
        <rFont val="Arial"/>
        <family val="2"/>
      </rPr>
      <t>(Who is responsible for mitigating this risk?)</t>
    </r>
  </si>
  <si>
    <t>RISK LOG</t>
  </si>
  <si>
    <t>ISSUE LOG</t>
  </si>
  <si>
    <r>
      <t xml:space="preserve">Description 
</t>
    </r>
    <r>
      <rPr>
        <sz val="10"/>
        <color theme="1" tint="0.249977111117893"/>
        <rFont val="Arial"/>
        <family val="2"/>
      </rPr>
      <t>(Cause &amp; Effect - Clearly describe what the issue is and what it is impacting - time, budget or quality)</t>
    </r>
  </si>
  <si>
    <r>
      <t>Action &amp; Owner</t>
    </r>
    <r>
      <rPr>
        <sz val="10"/>
        <color theme="1" tint="0.249977111117893"/>
        <rFont val="Arial"/>
        <family val="2"/>
      </rPr>
      <t xml:space="preserve"> 
(What needs to happen to resolve this issue?)</t>
    </r>
  </si>
  <si>
    <r>
      <t xml:space="preserve">Target Action Completion Date
</t>
    </r>
    <r>
      <rPr>
        <sz val="10"/>
        <color theme="1" tint="0.249977111117893"/>
        <rFont val="Arial"/>
        <family val="2"/>
      </rPr>
      <t>(When will actions be completed by?)</t>
    </r>
  </si>
  <si>
    <r>
      <t xml:space="preserve">Issue Owner
</t>
    </r>
    <r>
      <rPr>
        <sz val="10"/>
        <color theme="1" tint="0.249977111117893"/>
        <rFont val="Arial"/>
        <family val="2"/>
      </rPr>
      <t>(Who is responsible for resolving this issue?)</t>
    </r>
  </si>
  <si>
    <t>I004</t>
  </si>
  <si>
    <t>I005</t>
  </si>
  <si>
    <t>I006</t>
  </si>
  <si>
    <t>I007</t>
  </si>
  <si>
    <t>I008</t>
  </si>
  <si>
    <t>I009</t>
  </si>
  <si>
    <t>I010</t>
  </si>
  <si>
    <t>I011</t>
  </si>
  <si>
    <t>I012</t>
  </si>
  <si>
    <t>I013</t>
  </si>
  <si>
    <t>I014</t>
  </si>
  <si>
    <t>I015</t>
  </si>
  <si>
    <t>I016</t>
  </si>
  <si>
    <t>I017</t>
  </si>
  <si>
    <t>I018</t>
  </si>
  <si>
    <t>I019</t>
  </si>
  <si>
    <t>I020</t>
  </si>
  <si>
    <t>I021</t>
  </si>
  <si>
    <t>I022</t>
  </si>
  <si>
    <t>I023</t>
  </si>
  <si>
    <t>I024</t>
  </si>
  <si>
    <t>I025</t>
  </si>
  <si>
    <t>Issue RAG</t>
  </si>
  <si>
    <r>
      <t xml:space="preserve">Impact Rating 
</t>
    </r>
    <r>
      <rPr>
        <sz val="10"/>
        <color theme="1" tint="0.249977111117893"/>
        <rFont val="Arial"/>
        <family val="2"/>
      </rPr>
      <t>(Enter 1-5)</t>
    </r>
  </si>
  <si>
    <r>
      <t xml:space="preserve">Likelihood Rating 
</t>
    </r>
    <r>
      <rPr>
        <sz val="10"/>
        <color theme="1" tint="0.249977111117893"/>
        <rFont val="Arial"/>
        <family val="2"/>
      </rPr>
      <t>(Enter 1-5)</t>
    </r>
  </si>
  <si>
    <r>
      <t>Action &amp; Owner</t>
    </r>
    <r>
      <rPr>
        <sz val="10"/>
        <color theme="1" tint="0.249977111117893"/>
        <rFont val="Arial"/>
        <family val="2"/>
      </rPr>
      <t xml:space="preserve"> 
(What needs to happen to mitigate this risk or is it acceptable to do nothing at this stage?)</t>
    </r>
  </si>
  <si>
    <t>Any Additional Comments / Any Escalation Required?</t>
  </si>
  <si>
    <t>Project ID</t>
  </si>
  <si>
    <t>P001</t>
  </si>
  <si>
    <t>P002</t>
  </si>
  <si>
    <t>P003</t>
  </si>
  <si>
    <t>P004</t>
  </si>
  <si>
    <t>P005</t>
  </si>
  <si>
    <t>P006</t>
  </si>
  <si>
    <t>P007</t>
  </si>
  <si>
    <t>P008</t>
  </si>
  <si>
    <t>P009</t>
  </si>
  <si>
    <t>P010</t>
  </si>
  <si>
    <t>Business Area</t>
  </si>
  <si>
    <t>Potential Project/Programme</t>
  </si>
  <si>
    <t>National Marketing Campaign (Billboards &amp; Bus Shelters)</t>
  </si>
  <si>
    <t>Marketing</t>
  </si>
  <si>
    <t>Customer Loyalty Programme</t>
  </si>
  <si>
    <t>Customer</t>
  </si>
  <si>
    <t>Warehouse Expansion Programme</t>
  </si>
  <si>
    <t>Warehouse</t>
  </si>
  <si>
    <t>Data Protection Process Improvements</t>
  </si>
  <si>
    <t>Audit</t>
  </si>
  <si>
    <t xml:space="preserve">Strategic Objective (order of importance in brackets)
Quick ROI - within 6 months (1)
Risk Avoidance/Regulatory (2)
Improved Customer Experience (3) 
Longer ROI - 12 months + (4)  </t>
  </si>
  <si>
    <t>Additional Comments</t>
  </si>
  <si>
    <t>Costly project with a long timeline, 24 month project</t>
  </si>
  <si>
    <t>CRM System</t>
  </si>
  <si>
    <t>Email Receipts</t>
  </si>
  <si>
    <t xml:space="preserve">Costly project, requires integrations with web and app </t>
  </si>
  <si>
    <t>Social Media Management Tool</t>
  </si>
  <si>
    <t>Finance Software Upgrade</t>
  </si>
  <si>
    <t>Finance</t>
  </si>
  <si>
    <t>Warehouse AI System</t>
  </si>
  <si>
    <t>Till System Upgrade</t>
  </si>
  <si>
    <t>Stores</t>
  </si>
  <si>
    <t>PROJECT PORTFOLIO - LIST OF POTENTIAL PROJECTS AWAITING SIGN OFF, BUSINESS CASE ALREADY DRAFTED</t>
  </si>
  <si>
    <t>TO DO</t>
  </si>
  <si>
    <t>IN PROGRESS</t>
  </si>
  <si>
    <t>DONE</t>
  </si>
  <si>
    <t>NEXT SPRINT</t>
  </si>
  <si>
    <t>FUTURE WORK</t>
  </si>
  <si>
    <t>Demo software in place</t>
  </si>
  <si>
    <t>CRM fields created</t>
  </si>
  <si>
    <t>Product numbers created in app</t>
  </si>
  <si>
    <t>Payment facility (card) implemented in app </t>
  </si>
  <si>
    <t>Extra product lines added to app</t>
  </si>
  <si>
    <t>Store location software updated</t>
  </si>
  <si>
    <t>Email collector for newsletter feed updated </t>
  </si>
  <si>
    <t>Finance reporting feed developed</t>
  </si>
  <si>
    <t>App design complete UX</t>
  </si>
  <si>
    <t>App design complete UI</t>
  </si>
  <si>
    <t>App support process documented </t>
  </si>
  <si>
    <t>App backup process documented (Disaster recovery) </t>
  </si>
  <si>
    <t>App backup process tested (Disaster recovery)</t>
  </si>
  <si>
    <t>App information security - features identified</t>
  </si>
  <si>
    <t>App information security - features built</t>
  </si>
  <si>
    <t>Sync with website in place</t>
  </si>
  <si>
    <t>Payment facility (paypal) implemented and connected to finance system</t>
  </si>
  <si>
    <t>KANBAN BOARD - APP REFRESH PROJECT</t>
  </si>
  <si>
    <t>Payment (card) connected to finance system</t>
  </si>
  <si>
    <t>Finance reporting feed tested</t>
  </si>
  <si>
    <t>Customer account creation - ability to save favourite products</t>
  </si>
  <si>
    <t>Dev 1</t>
  </si>
  <si>
    <t>Dev 2</t>
  </si>
  <si>
    <t>Dev 3</t>
  </si>
  <si>
    <t>Dev 4</t>
  </si>
  <si>
    <t>Planned</t>
  </si>
  <si>
    <t>Actual</t>
  </si>
  <si>
    <t>Tester</t>
  </si>
  <si>
    <t>Gaming built into app (Strike Through - Not Aligned to Project)</t>
  </si>
  <si>
    <t>App design A/B testing (Strike Through - Not Aligned to Project)</t>
  </si>
  <si>
    <t>QR code for product offers (Strike Through - Not Aligned to Project)</t>
  </si>
  <si>
    <t>Social media feeds updated in app (Strike Through - Not Aligned to Project)</t>
  </si>
  <si>
    <t>BBC News live feed built into app (Strike Through - Not Aligned to Project)</t>
  </si>
  <si>
    <t>Navigate any store using the app (Strike Through - Not Aligned to Project)</t>
  </si>
  <si>
    <t>Developers Lack Payment Tool Licences</t>
  </si>
  <si>
    <t>Escalate to procurement to expedite licence purchase. Owner: Project Manager</t>
  </si>
  <si>
    <t>Project Manager</t>
  </si>
  <si>
    <t>Escalate to leadership if licence delay exceeds 1 week.</t>
  </si>
  <si>
    <t>Audit visit scheduled in 2 weeks — must be complete by then.</t>
  </si>
  <si>
    <t>Communicate prioritisation plan to Scrum Master and stakeholders.</t>
  </si>
  <si>
    <t>Prioritise security feature development in next sprint. Assign security consultant if needed. Owner: Project Manager</t>
  </si>
  <si>
    <t>Re-negotiate resource share with Website PM to rebalance UX team. Owner: Project Manager</t>
  </si>
  <si>
    <t>I001 - Missing Developer Licences</t>
  </si>
  <si>
    <t>I002 - Test Lead on Leave</t>
  </si>
  <si>
    <t xml:space="preserve">I003 - 3rd Party Support Vendor SLA Degradation </t>
  </si>
  <si>
    <t>Two developers are currently blocked due to missing software licences. Effect: Delayed progress on payment features, affecting Sprint 2 output.</t>
  </si>
  <si>
    <t>Test Lead is on annual leave for Sprint 3. Effect: Reduced testing capacity may delay quality assurance for upcoming deliverables.</t>
  </si>
  <si>
    <t>3rd party app support vendor acquired. Effect: Service level agreements are no longer being consistently met, risking resolution delays.</t>
  </si>
  <si>
    <t>PM to escalate with procurement and secure licences within 5 days. Owner: Project Manager</t>
  </si>
  <si>
    <t>Reassign QA responsibilities to senior dev or rotate coverage from other teams. Owner: Scrum Master</t>
  </si>
  <si>
    <t>Contact vendor leadership, review SLAs, and draft contingency support plan. Owner: Project Manager</t>
  </si>
  <si>
    <t>2025-05-20</t>
  </si>
  <si>
    <t>2025-05-17</t>
  </si>
  <si>
    <t>2025-05-22</t>
  </si>
  <si>
    <t>Scrum Master</t>
  </si>
  <si>
    <t>Escalate to leadership if no resolution by end of Sprint 2.</t>
  </si>
  <si>
    <t>Information security features are incomplete</t>
  </si>
  <si>
    <t>UX/UI team overallocated to Website project</t>
  </si>
  <si>
    <t>Escalation to Chief of Staff may be required if vendor continues to breach SLA.</t>
  </si>
  <si>
    <t>’ll support the Scrum Master in adjusting plans — whether that means shifting tasks, changing priorities, or postponing lower-risk testing to Sprint 4.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</si>
</sst>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 tint="0.249977111117893"/>
      <name val="Arial"/>
      <family val="2"/>
    </font>
    <font>
      <sz val="10"/>
      <color theme="1" tint="0.249977111117893"/>
      <name val="Arial"/>
      <family val="2"/>
    </font>
    <font>
      <sz val="9"/>
      <color theme="1" tint="0.249977111117893"/>
      <name val="Arial"/>
      <family val="2"/>
    </font>
    <font>
      <sz val="8"/>
      <name val="Calibri"/>
      <family val="2"/>
      <scheme val="minor"/>
    </font>
    <font>
      <sz val="11"/>
      <color indexed="8"/>
      <name val="Calibri"/>
      <family val="2"/>
    </font>
    <font>
      <b/>
      <sz val="14"/>
      <color theme="1"/>
      <name val="Calibri"/>
      <family val="2"/>
      <scheme val="minor"/>
    </font>
    <font>
      <sz val="11"/>
      <color rgb="FF000000"/>
      <name val="Arial"/>
      <family val="2"/>
    </font>
    <font>
      <sz val="11"/>
      <color theme="0"/>
      <name val="Calibri"/>
      <family val="2"/>
      <scheme val="minor"/>
    </font>
    <font>
      <sz val="11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1">
    <xf numFmtId="0" fontId="0" fillId="0" borderId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3" fillId="0" borderId="0"/>
    <xf numFmtId="0" fontId="8" fillId="0" borderId="0"/>
  </cellStyleXfs>
  <cellXfs count="57">
    <xf numFmtId="0" fontId="0" fillId="0" borderId="0" xfId="0"/>
    <xf numFmtId="0" fontId="0" fillId="5" borderId="1" xfId="0" applyFill="1" applyBorder="1"/>
    <xf numFmtId="0" fontId="2" fillId="0" borderId="0" xfId="0" applyFont="1"/>
    <xf numFmtId="0" fontId="0" fillId="4" borderId="1" xfId="0" applyFill="1" applyBorder="1"/>
    <xf numFmtId="0" fontId="0" fillId="0" borderId="1" xfId="0" applyBorder="1"/>
    <xf numFmtId="0" fontId="0" fillId="6" borderId="1" xfId="0" applyFill="1" applyBorder="1"/>
    <xf numFmtId="0" fontId="0" fillId="3" borderId="1" xfId="0" applyFill="1" applyBorder="1"/>
    <xf numFmtId="0" fontId="2" fillId="0" borderId="0" xfId="0" applyFont="1" applyAlignment="1">
      <alignment horizontal="center"/>
    </xf>
    <xf numFmtId="0" fontId="0" fillId="3" borderId="4" xfId="0" applyFill="1" applyBorder="1"/>
    <xf numFmtId="0" fontId="0" fillId="3" borderId="5" xfId="0" applyFill="1" applyBorder="1"/>
    <xf numFmtId="0" fontId="0" fillId="4" borderId="5" xfId="0" applyFill="1" applyBorder="1"/>
    <xf numFmtId="0" fontId="0" fillId="4" borderId="6" xfId="0" applyFill="1" applyBorder="1"/>
    <xf numFmtId="0" fontId="0" fillId="6" borderId="7" xfId="0" applyFill="1" applyBorder="1"/>
    <xf numFmtId="0" fontId="0" fillId="4" borderId="2" xfId="0" applyFill="1" applyBorder="1"/>
    <xf numFmtId="0" fontId="0" fillId="6" borderId="8" xfId="0" applyFill="1" applyBorder="1"/>
    <xf numFmtId="0" fontId="0" fillId="6" borderId="9" xfId="0" applyFill="1" applyBorder="1"/>
    <xf numFmtId="0" fontId="0" fillId="5" borderId="3" xfId="0" applyFill="1" applyBorder="1"/>
    <xf numFmtId="0" fontId="4" fillId="2" borderId="1" xfId="2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6" xfId="0" applyBorder="1"/>
    <xf numFmtId="0" fontId="0" fillId="0" borderId="18" xfId="0" applyBorder="1"/>
    <xf numFmtId="0" fontId="0" fillId="0" borderId="13" xfId="0" applyBorder="1"/>
    <xf numFmtId="0" fontId="0" fillId="0" borderId="14" xfId="0" applyBorder="1"/>
    <xf numFmtId="0" fontId="4" fillId="2" borderId="10" xfId="2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9" fillId="0" borderId="0" xfId="0" applyFont="1"/>
    <xf numFmtId="0" fontId="0" fillId="0" borderId="1" xfId="0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11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 wrapText="1"/>
    </xf>
    <xf numFmtId="0" fontId="0" fillId="0" borderId="18" xfId="0" applyBorder="1" applyAlignment="1">
      <alignment vertical="center"/>
    </xf>
    <xf numFmtId="0" fontId="0" fillId="0" borderId="13" xfId="0" applyBorder="1" applyAlignment="1">
      <alignment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vertical="center" wrapText="1"/>
    </xf>
    <xf numFmtId="0" fontId="0" fillId="0" borderId="17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6" xfId="0" applyBorder="1" applyAlignment="1">
      <alignment horizontal="left"/>
    </xf>
    <xf numFmtId="0" fontId="0" fillId="0" borderId="14" xfId="0" applyBorder="1" applyAlignment="1">
      <alignment horizontal="center"/>
    </xf>
    <xf numFmtId="0" fontId="0" fillId="0" borderId="12" xfId="0" applyBorder="1" applyAlignment="1">
      <alignment horizontal="center"/>
    </xf>
    <xf numFmtId="0" fontId="10" fillId="0" borderId="0" xfId="0" applyFont="1" applyAlignment="1">
      <alignment horizontal="left" vertical="center" indent="1"/>
    </xf>
    <xf numFmtId="0" fontId="10" fillId="0" borderId="13" xfId="0" applyFont="1" applyBorder="1" applyAlignment="1">
      <alignment horizontal="left" vertical="center" inden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1" fillId="0" borderId="0" xfId="0" applyFont="1"/>
    <xf numFmtId="0" fontId="0" fillId="0" borderId="13" xfId="0" applyBorder="1" applyAlignment="1">
      <alignment wrapText="1"/>
    </xf>
    <xf numFmtId="0" fontId="12" fillId="0" borderId="0" xfId="0" applyFont="1" applyAlignment="1">
      <alignment horizontal="left" vertical="center" indent="1"/>
    </xf>
    <xf numFmtId="14" fontId="0" fillId="0" borderId="0" xfId="0" applyNumberFormat="1" applyAlignment="1">
      <alignment vertical="center"/>
    </xf>
    <xf numFmtId="14" fontId="0" fillId="0" borderId="0" xfId="0" applyNumberFormat="1" applyAlignment="1">
      <alignment vertical="center" wrapText="1"/>
    </xf>
    <xf numFmtId="14" fontId="0" fillId="0" borderId="15" xfId="0" applyNumberFormat="1" applyBorder="1" applyAlignment="1">
      <alignment vertical="center"/>
    </xf>
    <xf numFmtId="14" fontId="0" fillId="0" borderId="0" xfId="0" applyNumberFormat="1"/>
    <xf numFmtId="14" fontId="0" fillId="0" borderId="15" xfId="0" applyNumberForma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 textRotation="90"/>
    </xf>
  </cellXfs>
  <cellStyles count="11">
    <cellStyle name="Normal" xfId="0" builtinId="0"/>
    <cellStyle name="Normal 2" xfId="2" xr:uid="{0DB219D2-17B7-4102-B60C-50FC790C1ED9}"/>
    <cellStyle name="Normal 2 2" xfId="10" xr:uid="{A3F2AA10-7CDC-44B8-9BAA-29804476A2D7}"/>
    <cellStyle name="Normal 3" xfId="3" xr:uid="{B2607962-9E25-4F47-BD90-9D125FCED89F}"/>
    <cellStyle name="Normal 3 2" xfId="5" xr:uid="{3143EF0D-BA89-4D42-841B-F20D1D8117D3}"/>
    <cellStyle name="Normal 3 2 2" xfId="7" xr:uid="{5139C126-FCAE-4F06-B287-E914B5C7311F}"/>
    <cellStyle name="Normal 4" xfId="9" xr:uid="{B9F47265-017C-4F07-97BB-1DADC9F5991E}"/>
    <cellStyle name="Normal 5" xfId="1" xr:uid="{7769B168-F305-4BB1-8D5A-97331B601EEF}"/>
    <cellStyle name="Percent 2" xfId="4" xr:uid="{08D33A3A-C7C2-4634-862F-4AF4237CBB7F}"/>
    <cellStyle name="Percent 2 2" xfId="6" xr:uid="{36240813-4C44-4654-A81E-4D1A6893A52C}"/>
    <cellStyle name="Percent 2 2 2" xfId="8" xr:uid="{EE31F71B-77F7-44D3-B596-E311BCDF42DA}"/>
  </cellStyles>
  <dxfs count="5">
    <dxf>
      <font>
        <color rgb="FFFF0000"/>
      </font>
      <fill>
        <patternFill>
          <bgColor rgb="FFFF0000"/>
        </patternFill>
      </fill>
    </dxf>
    <dxf>
      <font>
        <color rgb="FFFFC000"/>
      </font>
      <fill>
        <patternFill>
          <bgColor rgb="FFFFC00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C000"/>
      </font>
      <fill>
        <patternFill>
          <bgColor rgb="FFFFC000"/>
        </patternFill>
      </fill>
    </dxf>
    <dxf>
      <font>
        <color rgb="FF00B050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Planned</a:t>
            </a:r>
            <a:r>
              <a:rPr lang="en-GB" baseline="0"/>
              <a:t> vs Actual Work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'5) Sprint 1 - Planned vs Actual'!$B$3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'5) Sprint 1 - Planned vs Actual'!$C$2:$G$2</c:f>
              <c:strCache>
                <c:ptCount val="5"/>
                <c:pt idx="0">
                  <c:v>Dev 1</c:v>
                </c:pt>
                <c:pt idx="1">
                  <c:v>Dev 2</c:v>
                </c:pt>
                <c:pt idx="2">
                  <c:v>Dev 3</c:v>
                </c:pt>
                <c:pt idx="3">
                  <c:v>Dev 4</c:v>
                </c:pt>
                <c:pt idx="4">
                  <c:v>Tester</c:v>
                </c:pt>
              </c:strCache>
            </c:strRef>
          </c:cat>
          <c:val>
            <c:numRef>
              <c:f>'5) Sprint 1 - Planned vs Actual'!$C$3:$G$3</c:f>
              <c:numCache>
                <c:formatCode>General</c:formatCode>
                <c:ptCount val="5"/>
                <c:pt idx="0">
                  <c:v>10</c:v>
                </c:pt>
                <c:pt idx="1">
                  <c:v>10</c:v>
                </c:pt>
                <c:pt idx="2">
                  <c:v>8</c:v>
                </c:pt>
                <c:pt idx="3">
                  <c:v>12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44-4E26-ABC2-2E0E5EF77ED2}"/>
            </c:ext>
          </c:extLst>
        </c:ser>
        <c:ser>
          <c:idx val="1"/>
          <c:order val="1"/>
          <c:tx>
            <c:strRef>
              <c:f>'5) Sprint 1 - Planned vs Actual'!$B$4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'5) Sprint 1 - Planned vs Actual'!$C$2:$G$2</c:f>
              <c:strCache>
                <c:ptCount val="5"/>
                <c:pt idx="0">
                  <c:v>Dev 1</c:v>
                </c:pt>
                <c:pt idx="1">
                  <c:v>Dev 2</c:v>
                </c:pt>
                <c:pt idx="2">
                  <c:v>Dev 3</c:v>
                </c:pt>
                <c:pt idx="3">
                  <c:v>Dev 4</c:v>
                </c:pt>
                <c:pt idx="4">
                  <c:v>Tester</c:v>
                </c:pt>
              </c:strCache>
            </c:strRef>
          </c:cat>
          <c:val>
            <c:numRef>
              <c:f>'5) Sprint 1 - Planned vs Actual'!$C$4:$G$4</c:f>
              <c:numCache>
                <c:formatCode>General</c:formatCode>
                <c:ptCount val="5"/>
                <c:pt idx="0">
                  <c:v>5</c:v>
                </c:pt>
                <c:pt idx="1">
                  <c:v>10</c:v>
                </c:pt>
                <c:pt idx="2">
                  <c:v>8</c:v>
                </c:pt>
                <c:pt idx="3">
                  <c:v>20</c:v>
                </c:pt>
                <c:pt idx="4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44-4E26-ABC2-2E0E5EF77E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69605328"/>
        <c:axId val="269605984"/>
      </c:barChart>
      <c:catAx>
        <c:axId val="2696053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605984"/>
        <c:crosses val="autoZero"/>
        <c:auto val="1"/>
        <c:lblAlgn val="ctr"/>
        <c:lblOffset val="100"/>
        <c:noMultiLvlLbl val="0"/>
      </c:catAx>
      <c:valAx>
        <c:axId val="269605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Tasks Completed per Sprint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605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323850</xdr:colOff>
      <xdr:row>0</xdr:row>
      <xdr:rowOff>152399</xdr:rowOff>
    </xdr:from>
    <xdr:to>
      <xdr:col>8</xdr:col>
      <xdr:colOff>552450</xdr:colOff>
      <xdr:row>16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E99AAF-A690-485E-9F29-DC597806EA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BD59-3507-4723-9019-B5EF4F821C1A}">
  <dimension ref="A1:E13"/>
  <sheetViews>
    <sheetView workbookViewId="0">
      <selection activeCell="B7" sqref="B7"/>
    </sheetView>
  </sheetViews>
  <sheetFormatPr baseColWidth="10" defaultColWidth="8.83203125" defaultRowHeight="15" x14ac:dyDescent="0.2"/>
  <cols>
    <col min="2" max="2" width="52.5" bestFit="1" customWidth="1"/>
    <col min="3" max="3" width="23.6640625" customWidth="1"/>
    <col min="4" max="4" width="52.83203125" customWidth="1"/>
    <col min="5" max="5" width="50.6640625" bestFit="1" customWidth="1"/>
  </cols>
  <sheetData>
    <row r="1" spans="1:5" s="26" customFormat="1" ht="19" x14ac:dyDescent="0.25">
      <c r="A1" s="26" t="s">
        <v>105</v>
      </c>
      <c r="D1"/>
      <c r="E1"/>
    </row>
    <row r="3" spans="1:5" ht="93.75" customHeight="1" x14ac:dyDescent="0.2">
      <c r="A3" s="17" t="s">
        <v>72</v>
      </c>
      <c r="B3" s="17" t="s">
        <v>84</v>
      </c>
      <c r="C3" s="17" t="s">
        <v>83</v>
      </c>
      <c r="D3" s="17" t="s">
        <v>93</v>
      </c>
      <c r="E3" s="17" t="s">
        <v>94</v>
      </c>
    </row>
    <row r="4" spans="1:5" x14ac:dyDescent="0.2">
      <c r="A4" s="4" t="s">
        <v>73</v>
      </c>
      <c r="B4" t="s">
        <v>85</v>
      </c>
      <c r="C4" s="24" t="s">
        <v>86</v>
      </c>
      <c r="D4" s="37">
        <v>4</v>
      </c>
      <c r="E4" s="37"/>
    </row>
    <row r="5" spans="1:5" x14ac:dyDescent="0.2">
      <c r="A5" s="4" t="s">
        <v>74</v>
      </c>
      <c r="B5" t="s">
        <v>87</v>
      </c>
      <c r="C5" s="24" t="s">
        <v>88</v>
      </c>
      <c r="D5" s="38">
        <v>3</v>
      </c>
      <c r="E5" s="38"/>
    </row>
    <row r="6" spans="1:5" x14ac:dyDescent="0.2">
      <c r="A6" s="4" t="s">
        <v>75</v>
      </c>
      <c r="B6" t="s">
        <v>89</v>
      </c>
      <c r="C6" s="24" t="s">
        <v>90</v>
      </c>
      <c r="D6" s="38">
        <v>4</v>
      </c>
      <c r="E6" s="39" t="s">
        <v>95</v>
      </c>
    </row>
    <row r="7" spans="1:5" x14ac:dyDescent="0.2">
      <c r="A7" s="4" t="s">
        <v>76</v>
      </c>
      <c r="B7" t="s">
        <v>91</v>
      </c>
      <c r="C7" s="24" t="s">
        <v>92</v>
      </c>
      <c r="D7" s="38">
        <v>2</v>
      </c>
      <c r="E7" s="38"/>
    </row>
    <row r="8" spans="1:5" x14ac:dyDescent="0.2">
      <c r="A8" s="4" t="s">
        <v>77</v>
      </c>
      <c r="B8" t="s">
        <v>96</v>
      </c>
      <c r="C8" s="24" t="s">
        <v>88</v>
      </c>
      <c r="D8" s="38">
        <v>3</v>
      </c>
      <c r="E8" s="39" t="s">
        <v>98</v>
      </c>
    </row>
    <row r="9" spans="1:5" x14ac:dyDescent="0.2">
      <c r="A9" s="4" t="s">
        <v>78</v>
      </c>
      <c r="B9" t="s">
        <v>97</v>
      </c>
      <c r="C9" s="24" t="s">
        <v>88</v>
      </c>
      <c r="D9" s="38">
        <v>1</v>
      </c>
      <c r="E9" s="38"/>
    </row>
    <row r="10" spans="1:5" x14ac:dyDescent="0.2">
      <c r="A10" s="4" t="s">
        <v>79</v>
      </c>
      <c r="B10" t="s">
        <v>99</v>
      </c>
      <c r="C10" s="24" t="s">
        <v>88</v>
      </c>
      <c r="D10" s="38">
        <v>1</v>
      </c>
      <c r="E10" s="38"/>
    </row>
    <row r="11" spans="1:5" x14ac:dyDescent="0.2">
      <c r="A11" s="4" t="s">
        <v>80</v>
      </c>
      <c r="B11" t="s">
        <v>100</v>
      </c>
      <c r="C11" s="24" t="s">
        <v>101</v>
      </c>
      <c r="D11" s="38">
        <v>4</v>
      </c>
      <c r="E11" s="38"/>
    </row>
    <row r="12" spans="1:5" x14ac:dyDescent="0.2">
      <c r="A12" s="4" t="s">
        <v>81</v>
      </c>
      <c r="B12" t="s">
        <v>102</v>
      </c>
      <c r="C12" s="24" t="s">
        <v>90</v>
      </c>
      <c r="D12" s="38">
        <v>4</v>
      </c>
      <c r="E12" s="38"/>
    </row>
    <row r="13" spans="1:5" x14ac:dyDescent="0.2">
      <c r="A13" s="4" t="s">
        <v>82</v>
      </c>
      <c r="B13" s="20" t="s">
        <v>103</v>
      </c>
      <c r="C13" s="25" t="s">
        <v>104</v>
      </c>
      <c r="D13" s="40">
        <v>4</v>
      </c>
      <c r="E13" s="41"/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3CC6D-0E7A-47B4-8A70-C56D2231E222}">
  <dimension ref="A1:E29"/>
  <sheetViews>
    <sheetView workbookViewId="0">
      <selection activeCell="B6" sqref="B6"/>
    </sheetView>
  </sheetViews>
  <sheetFormatPr baseColWidth="10" defaultColWidth="8.83203125" defaultRowHeight="15" x14ac:dyDescent="0.2"/>
  <cols>
    <col min="1" max="1" width="74.83203125" bestFit="1" customWidth="1"/>
    <col min="2" max="2" width="23.6640625" customWidth="1"/>
    <col min="3" max="3" width="29.1640625" customWidth="1"/>
    <col min="4" max="4" width="37.33203125" customWidth="1"/>
    <col min="5" max="5" width="52.83203125" customWidth="1"/>
  </cols>
  <sheetData>
    <row r="1" spans="1:5" ht="19" x14ac:dyDescent="0.25">
      <c r="A1" s="26" t="s">
        <v>128</v>
      </c>
      <c r="B1" s="26"/>
      <c r="C1" s="26"/>
      <c r="D1" s="26"/>
    </row>
    <row r="3" spans="1:5" x14ac:dyDescent="0.2">
      <c r="A3" s="17" t="s">
        <v>106</v>
      </c>
      <c r="B3" s="17" t="s">
        <v>107</v>
      </c>
      <c r="C3" s="17" t="s">
        <v>108</v>
      </c>
      <c r="D3" s="17" t="s">
        <v>109</v>
      </c>
      <c r="E3" s="17" t="s">
        <v>110</v>
      </c>
    </row>
    <row r="4" spans="1:5" x14ac:dyDescent="0.2">
      <c r="A4" s="42" t="s">
        <v>111</v>
      </c>
      <c r="B4" s="24"/>
      <c r="C4" s="24"/>
      <c r="D4" s="24"/>
      <c r="E4" s="37"/>
    </row>
    <row r="5" spans="1:5" x14ac:dyDescent="0.2">
      <c r="A5" s="42"/>
      <c r="B5" s="24"/>
      <c r="C5" s="24"/>
      <c r="D5" s="24"/>
      <c r="E5" s="42" t="s">
        <v>112</v>
      </c>
    </row>
    <row r="6" spans="1:5" x14ac:dyDescent="0.2">
      <c r="A6" s="42" t="s">
        <v>131</v>
      </c>
      <c r="B6" s="24"/>
      <c r="C6" s="24"/>
      <c r="D6" s="24"/>
      <c r="E6" s="38"/>
    </row>
    <row r="7" spans="1:5" x14ac:dyDescent="0.2">
      <c r="A7" s="42" t="s">
        <v>113</v>
      </c>
      <c r="B7" s="24"/>
      <c r="C7" s="24"/>
      <c r="D7" s="24"/>
      <c r="E7" s="38"/>
    </row>
    <row r="8" spans="1:5" x14ac:dyDescent="0.2">
      <c r="A8" s="42" t="s">
        <v>129</v>
      </c>
      <c r="B8" s="24"/>
      <c r="C8" s="24"/>
      <c r="D8" s="24"/>
      <c r="E8" s="38"/>
    </row>
    <row r="9" spans="1:5" x14ac:dyDescent="0.2">
      <c r="A9" s="42" t="s">
        <v>114</v>
      </c>
      <c r="B9" s="24"/>
      <c r="C9" s="24"/>
      <c r="D9" s="24"/>
      <c r="E9" s="38"/>
    </row>
    <row r="10" spans="1:5" x14ac:dyDescent="0.2">
      <c r="A10" s="42" t="s">
        <v>127</v>
      </c>
      <c r="B10" s="24"/>
      <c r="C10" s="24"/>
      <c r="D10" s="24"/>
      <c r="E10" s="38"/>
    </row>
    <row r="11" spans="1:5" x14ac:dyDescent="0.2">
      <c r="A11" s="42" t="s">
        <v>115</v>
      </c>
      <c r="B11" s="24"/>
      <c r="C11" s="24"/>
      <c r="D11" s="24"/>
      <c r="E11" s="38"/>
    </row>
    <row r="12" spans="1:5" x14ac:dyDescent="0.2">
      <c r="A12" s="42"/>
      <c r="B12" s="24"/>
      <c r="C12" s="42" t="s">
        <v>116</v>
      </c>
      <c r="D12" s="24"/>
      <c r="E12" s="38"/>
    </row>
    <row r="13" spans="1:5" x14ac:dyDescent="0.2">
      <c r="A13" s="49" t="s">
        <v>144</v>
      </c>
      <c r="B13" s="24"/>
      <c r="C13" s="24"/>
      <c r="D13" s="24"/>
      <c r="E13" s="38"/>
    </row>
    <row r="14" spans="1:5" x14ac:dyDescent="0.2">
      <c r="A14" s="49" t="s">
        <v>143</v>
      </c>
      <c r="B14" s="24"/>
      <c r="C14" s="24"/>
      <c r="D14" s="24"/>
      <c r="E14" s="38"/>
    </row>
    <row r="15" spans="1:5" x14ac:dyDescent="0.2">
      <c r="A15" s="49" t="s">
        <v>142</v>
      </c>
      <c r="B15" s="24"/>
      <c r="C15" s="24"/>
      <c r="D15" s="24"/>
      <c r="E15" s="38"/>
    </row>
    <row r="16" spans="1:5" x14ac:dyDescent="0.2">
      <c r="A16" s="42" t="s">
        <v>117</v>
      </c>
      <c r="B16" s="24"/>
      <c r="C16" s="24"/>
      <c r="D16" s="24"/>
      <c r="E16" s="38"/>
    </row>
    <row r="17" spans="1:5" x14ac:dyDescent="0.2">
      <c r="A17" s="42" t="s">
        <v>118</v>
      </c>
      <c r="B17" s="24"/>
      <c r="C17" s="24"/>
      <c r="D17" s="24"/>
      <c r="E17" s="38"/>
    </row>
    <row r="18" spans="1:5" x14ac:dyDescent="0.2">
      <c r="A18" s="42"/>
      <c r="B18" s="24"/>
      <c r="C18" s="24"/>
      <c r="D18" s="42" t="s">
        <v>130</v>
      </c>
      <c r="E18" s="38"/>
    </row>
    <row r="19" spans="1:5" x14ac:dyDescent="0.2">
      <c r="A19" s="49" t="s">
        <v>141</v>
      </c>
      <c r="B19" s="24"/>
      <c r="C19" s="24"/>
      <c r="D19" s="24"/>
      <c r="E19" s="38"/>
    </row>
    <row r="20" spans="1:5" x14ac:dyDescent="0.2">
      <c r="A20" s="42"/>
      <c r="B20" s="42" t="s">
        <v>119</v>
      </c>
      <c r="C20" s="24"/>
      <c r="D20" s="24"/>
      <c r="E20" s="38"/>
    </row>
    <row r="21" spans="1:5" x14ac:dyDescent="0.2">
      <c r="A21" s="42"/>
      <c r="B21" s="42" t="s">
        <v>120</v>
      </c>
      <c r="C21" s="24"/>
      <c r="D21" s="24"/>
      <c r="E21" s="38"/>
    </row>
    <row r="22" spans="1:5" x14ac:dyDescent="0.2">
      <c r="A22" s="49" t="s">
        <v>140</v>
      </c>
      <c r="B22" s="24"/>
      <c r="C22" s="24"/>
      <c r="D22" s="24"/>
      <c r="E22" s="38"/>
    </row>
    <row r="23" spans="1:5" x14ac:dyDescent="0.2">
      <c r="A23" s="49" t="s">
        <v>139</v>
      </c>
      <c r="B23" s="24"/>
      <c r="C23" s="24"/>
      <c r="D23" s="24"/>
      <c r="E23" s="38"/>
    </row>
    <row r="24" spans="1:5" x14ac:dyDescent="0.2">
      <c r="A24" s="42"/>
      <c r="B24" s="24"/>
      <c r="C24" s="24"/>
      <c r="D24" s="24"/>
      <c r="E24" s="42" t="s">
        <v>121</v>
      </c>
    </row>
    <row r="25" spans="1:5" x14ac:dyDescent="0.2">
      <c r="A25" s="42"/>
      <c r="B25" s="24"/>
      <c r="C25" s="24"/>
      <c r="D25" s="24"/>
      <c r="E25" s="42" t="s">
        <v>122</v>
      </c>
    </row>
    <row r="26" spans="1:5" x14ac:dyDescent="0.2">
      <c r="A26" s="42"/>
      <c r="B26" s="24"/>
      <c r="C26" s="24"/>
      <c r="D26" s="24"/>
      <c r="E26" s="42" t="s">
        <v>123</v>
      </c>
    </row>
    <row r="27" spans="1:5" x14ac:dyDescent="0.2">
      <c r="A27" s="42" t="s">
        <v>124</v>
      </c>
      <c r="E27" s="19"/>
    </row>
    <row r="28" spans="1:5" x14ac:dyDescent="0.2">
      <c r="A28" s="42"/>
      <c r="D28" s="42" t="s">
        <v>125</v>
      </c>
      <c r="E28" s="19"/>
    </row>
    <row r="29" spans="1:5" x14ac:dyDescent="0.2">
      <c r="A29" s="43"/>
      <c r="B29" s="21"/>
      <c r="C29" s="21"/>
      <c r="D29" s="21"/>
      <c r="E29" s="43" t="s">
        <v>126</v>
      </c>
    </row>
  </sheetData>
  <pageMargins left="0.7" right="0.7" top="0.75" bottom="0.75" header="0.3" footer="0.3"/>
  <pageSetup paperSize="9"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F8925-418E-4D56-A1E4-03408E653545}">
  <dimension ref="A1:J28"/>
  <sheetViews>
    <sheetView zoomScale="72" zoomScaleNormal="72" workbookViewId="0">
      <selection activeCell="I46" sqref="I46"/>
    </sheetView>
  </sheetViews>
  <sheetFormatPr baseColWidth="10" defaultColWidth="8.83203125" defaultRowHeight="15" x14ac:dyDescent="0.2"/>
  <cols>
    <col min="2" max="2" width="11" bestFit="1" customWidth="1"/>
    <col min="3" max="3" width="56.1640625" customWidth="1"/>
    <col min="4" max="6" width="20.6640625" customWidth="1"/>
    <col min="7" max="7" width="89.33203125" customWidth="1"/>
    <col min="8" max="8" width="18.83203125" customWidth="1"/>
    <col min="9" max="9" width="28.83203125" customWidth="1"/>
    <col min="10" max="10" width="52.33203125" customWidth="1"/>
  </cols>
  <sheetData>
    <row r="1" spans="1:10" ht="19" x14ac:dyDescent="0.25">
      <c r="A1" s="26" t="s">
        <v>39</v>
      </c>
    </row>
    <row r="3" spans="1:10" ht="61.5" customHeight="1" x14ac:dyDescent="0.2">
      <c r="A3" s="17" t="s">
        <v>1</v>
      </c>
      <c r="B3" s="23" t="s">
        <v>0</v>
      </c>
      <c r="C3" s="17" t="s">
        <v>37</v>
      </c>
      <c r="D3" s="17" t="s">
        <v>68</v>
      </c>
      <c r="E3" s="17" t="s">
        <v>69</v>
      </c>
      <c r="F3" s="17" t="s">
        <v>36</v>
      </c>
      <c r="G3" s="17" t="s">
        <v>70</v>
      </c>
      <c r="H3" s="17" t="s">
        <v>43</v>
      </c>
      <c r="I3" s="17" t="s">
        <v>38</v>
      </c>
      <c r="J3" s="17" t="s">
        <v>71</v>
      </c>
    </row>
    <row r="4" spans="1:10" x14ac:dyDescent="0.2">
      <c r="A4" s="27" t="s">
        <v>10</v>
      </c>
      <c r="B4" s="50">
        <v>45796</v>
      </c>
      <c r="C4" t="s">
        <v>145</v>
      </c>
      <c r="D4" s="29">
        <v>5</v>
      </c>
      <c r="E4" s="29">
        <v>4</v>
      </c>
      <c r="F4" s="29">
        <f>D4*E4</f>
        <v>20</v>
      </c>
      <c r="G4" t="s">
        <v>146</v>
      </c>
      <c r="H4" s="51">
        <v>45803</v>
      </c>
      <c r="I4" t="s">
        <v>147</v>
      </c>
      <c r="J4" t="s">
        <v>148</v>
      </c>
    </row>
    <row r="5" spans="1:10" x14ac:dyDescent="0.2">
      <c r="A5" s="30" t="s">
        <v>11</v>
      </c>
      <c r="B5" s="52">
        <v>45796</v>
      </c>
      <c r="C5" t="s">
        <v>167</v>
      </c>
      <c r="D5" s="29">
        <v>5</v>
      </c>
      <c r="E5" s="29">
        <v>4</v>
      </c>
      <c r="F5" s="29">
        <f>D5*E5</f>
        <v>20</v>
      </c>
      <c r="G5" t="s">
        <v>151</v>
      </c>
      <c r="H5" s="51">
        <v>45810</v>
      </c>
      <c r="I5" t="s">
        <v>147</v>
      </c>
      <c r="J5" t="s">
        <v>149</v>
      </c>
    </row>
    <row r="6" spans="1:10" x14ac:dyDescent="0.2">
      <c r="A6" s="30" t="s">
        <v>12</v>
      </c>
      <c r="B6" s="52">
        <v>45796</v>
      </c>
      <c r="C6" t="s">
        <v>168</v>
      </c>
      <c r="D6" s="29">
        <v>4</v>
      </c>
      <c r="E6" s="29">
        <v>3</v>
      </c>
      <c r="F6" s="29">
        <f t="shared" ref="F6:F27" si="0">D6*E6</f>
        <v>12</v>
      </c>
      <c r="G6" t="s">
        <v>152</v>
      </c>
      <c r="H6" s="51">
        <v>45803</v>
      </c>
      <c r="I6" t="s">
        <v>147</v>
      </c>
      <c r="J6" t="s">
        <v>150</v>
      </c>
    </row>
    <row r="7" spans="1:10" x14ac:dyDescent="0.2">
      <c r="A7" s="30" t="s">
        <v>13</v>
      </c>
      <c r="B7" s="31"/>
      <c r="C7" s="28"/>
      <c r="D7" s="29"/>
      <c r="E7" s="29"/>
      <c r="F7" s="29">
        <f t="shared" si="0"/>
        <v>0</v>
      </c>
      <c r="G7" s="28"/>
      <c r="H7" s="28"/>
      <c r="I7" s="28"/>
      <c r="J7" s="32"/>
    </row>
    <row r="8" spans="1:10" x14ac:dyDescent="0.2">
      <c r="A8" s="30" t="s">
        <v>14</v>
      </c>
      <c r="B8" s="31"/>
      <c r="C8" s="28"/>
      <c r="D8" s="29"/>
      <c r="E8" s="29"/>
      <c r="F8" s="29">
        <f t="shared" si="0"/>
        <v>0</v>
      </c>
      <c r="G8" s="28"/>
      <c r="H8" s="28"/>
      <c r="I8" s="28"/>
      <c r="J8" s="32"/>
    </row>
    <row r="9" spans="1:10" x14ac:dyDescent="0.2">
      <c r="A9" s="30" t="s">
        <v>15</v>
      </c>
      <c r="B9" s="31"/>
      <c r="C9" s="28"/>
      <c r="D9" s="29"/>
      <c r="E9" s="29"/>
      <c r="F9" s="29">
        <f t="shared" si="0"/>
        <v>0</v>
      </c>
      <c r="G9" s="28"/>
      <c r="H9" s="28"/>
      <c r="I9" s="28"/>
      <c r="J9" s="32"/>
    </row>
    <row r="10" spans="1:10" x14ac:dyDescent="0.2">
      <c r="A10" s="30" t="s">
        <v>16</v>
      </c>
      <c r="B10" s="31"/>
      <c r="C10" s="28"/>
      <c r="D10" s="29"/>
      <c r="E10" s="29"/>
      <c r="F10" s="29">
        <f t="shared" si="0"/>
        <v>0</v>
      </c>
      <c r="G10" s="28"/>
      <c r="H10" s="28"/>
      <c r="I10" s="28"/>
      <c r="J10" s="32"/>
    </row>
    <row r="11" spans="1:10" x14ac:dyDescent="0.2">
      <c r="A11" s="30" t="s">
        <v>17</v>
      </c>
      <c r="B11" s="31"/>
      <c r="C11" s="28"/>
      <c r="D11" s="29"/>
      <c r="E11" s="29"/>
      <c r="F11" s="29">
        <f t="shared" si="0"/>
        <v>0</v>
      </c>
      <c r="G11" s="28"/>
      <c r="H11" s="28"/>
      <c r="I11" s="28"/>
      <c r="J11" s="32"/>
    </row>
    <row r="12" spans="1:10" x14ac:dyDescent="0.2">
      <c r="A12" s="30" t="s">
        <v>18</v>
      </c>
      <c r="B12" s="31"/>
      <c r="C12" s="28"/>
      <c r="D12" s="29"/>
      <c r="E12" s="29"/>
      <c r="F12" s="29">
        <f t="shared" si="0"/>
        <v>0</v>
      </c>
      <c r="G12" s="28"/>
      <c r="H12" s="28"/>
      <c r="I12" s="28"/>
      <c r="J12" s="32"/>
    </row>
    <row r="13" spans="1:10" x14ac:dyDescent="0.2">
      <c r="A13" s="30" t="s">
        <v>19</v>
      </c>
      <c r="B13" s="31"/>
      <c r="C13" s="28"/>
      <c r="D13" s="29"/>
      <c r="E13" s="29"/>
      <c r="F13" s="29">
        <f t="shared" si="0"/>
        <v>0</v>
      </c>
      <c r="G13" s="28"/>
      <c r="H13" s="28"/>
      <c r="I13" s="28"/>
      <c r="J13" s="32"/>
    </row>
    <row r="14" spans="1:10" x14ac:dyDescent="0.2">
      <c r="A14" s="30" t="s">
        <v>20</v>
      </c>
      <c r="B14" s="31"/>
      <c r="C14" s="28"/>
      <c r="D14" s="29"/>
      <c r="E14" s="29"/>
      <c r="F14" s="29">
        <f t="shared" si="0"/>
        <v>0</v>
      </c>
      <c r="G14" s="28"/>
      <c r="H14" s="28"/>
      <c r="I14" s="28"/>
      <c r="J14" s="32"/>
    </row>
    <row r="15" spans="1:10" x14ac:dyDescent="0.2">
      <c r="A15" s="30" t="s">
        <v>21</v>
      </c>
      <c r="B15" s="31"/>
      <c r="C15" s="28"/>
      <c r="D15" s="29"/>
      <c r="E15" s="29"/>
      <c r="F15" s="29">
        <f t="shared" si="0"/>
        <v>0</v>
      </c>
      <c r="G15" s="28"/>
      <c r="H15" s="28"/>
      <c r="I15" s="28"/>
      <c r="J15" s="32"/>
    </row>
    <row r="16" spans="1:10" x14ac:dyDescent="0.2">
      <c r="A16" s="30" t="s">
        <v>22</v>
      </c>
      <c r="B16" s="31"/>
      <c r="C16" s="28"/>
      <c r="D16" s="29"/>
      <c r="E16" s="29"/>
      <c r="F16" s="29">
        <f t="shared" si="0"/>
        <v>0</v>
      </c>
      <c r="G16" s="28"/>
      <c r="H16" s="28"/>
      <c r="I16" s="28"/>
      <c r="J16" s="32"/>
    </row>
    <row r="17" spans="1:10" x14ac:dyDescent="0.2">
      <c r="A17" s="30" t="s">
        <v>23</v>
      </c>
      <c r="B17" s="31"/>
      <c r="C17" s="28"/>
      <c r="D17" s="29"/>
      <c r="E17" s="29"/>
      <c r="F17" s="29">
        <f t="shared" si="0"/>
        <v>0</v>
      </c>
      <c r="G17" s="28"/>
      <c r="H17" s="28"/>
      <c r="I17" s="28"/>
      <c r="J17" s="32"/>
    </row>
    <row r="18" spans="1:10" x14ac:dyDescent="0.2">
      <c r="A18" s="30" t="s">
        <v>24</v>
      </c>
      <c r="B18" s="31"/>
      <c r="C18" s="28"/>
      <c r="D18" s="29"/>
      <c r="E18" s="29"/>
      <c r="F18" s="29">
        <f t="shared" si="0"/>
        <v>0</v>
      </c>
      <c r="G18" s="28"/>
      <c r="H18" s="28"/>
      <c r="I18" s="28"/>
      <c r="J18" s="32"/>
    </row>
    <row r="19" spans="1:10" x14ac:dyDescent="0.2">
      <c r="A19" s="30" t="s">
        <v>25</v>
      </c>
      <c r="B19" s="31"/>
      <c r="C19" s="28"/>
      <c r="D19" s="29"/>
      <c r="E19" s="29"/>
      <c r="F19" s="29">
        <f t="shared" si="0"/>
        <v>0</v>
      </c>
      <c r="G19" s="28"/>
      <c r="H19" s="28"/>
      <c r="I19" s="28"/>
      <c r="J19" s="32"/>
    </row>
    <row r="20" spans="1:10" x14ac:dyDescent="0.2">
      <c r="A20" s="30" t="s">
        <v>26</v>
      </c>
      <c r="B20" s="31"/>
      <c r="C20" s="28"/>
      <c r="D20" s="29"/>
      <c r="E20" s="29"/>
      <c r="F20" s="29">
        <f t="shared" si="0"/>
        <v>0</v>
      </c>
      <c r="G20" s="28"/>
      <c r="H20" s="28"/>
      <c r="I20" s="28"/>
      <c r="J20" s="32"/>
    </row>
    <row r="21" spans="1:10" x14ac:dyDescent="0.2">
      <c r="A21" s="30" t="s">
        <v>27</v>
      </c>
      <c r="B21" s="31"/>
      <c r="C21" s="28"/>
      <c r="D21" s="29"/>
      <c r="E21" s="29"/>
      <c r="F21" s="29">
        <f t="shared" si="0"/>
        <v>0</v>
      </c>
      <c r="G21" s="28"/>
      <c r="H21" s="28"/>
      <c r="I21" s="28"/>
      <c r="J21" s="32"/>
    </row>
    <row r="22" spans="1:10" x14ac:dyDescent="0.2">
      <c r="A22" s="30" t="s">
        <v>28</v>
      </c>
      <c r="B22" s="31"/>
      <c r="C22" s="28"/>
      <c r="D22" s="29"/>
      <c r="E22" s="29"/>
      <c r="F22" s="29">
        <f t="shared" si="0"/>
        <v>0</v>
      </c>
      <c r="G22" s="28"/>
      <c r="H22" s="28"/>
      <c r="I22" s="28"/>
      <c r="J22" s="32"/>
    </row>
    <row r="23" spans="1:10" x14ac:dyDescent="0.2">
      <c r="A23" s="30" t="s">
        <v>29</v>
      </c>
      <c r="B23" s="31"/>
      <c r="C23" s="28"/>
      <c r="D23" s="29"/>
      <c r="E23" s="29"/>
      <c r="F23" s="29">
        <f t="shared" si="0"/>
        <v>0</v>
      </c>
      <c r="G23" s="28"/>
      <c r="H23" s="28"/>
      <c r="I23" s="28"/>
      <c r="J23" s="32"/>
    </row>
    <row r="24" spans="1:10" x14ac:dyDescent="0.2">
      <c r="A24" s="30" t="s">
        <v>30</v>
      </c>
      <c r="B24" s="31"/>
      <c r="C24" s="28"/>
      <c r="D24" s="29"/>
      <c r="E24" s="29"/>
      <c r="F24" s="29">
        <f t="shared" si="0"/>
        <v>0</v>
      </c>
      <c r="G24" s="28"/>
      <c r="H24" s="28"/>
      <c r="I24" s="28"/>
      <c r="J24" s="32"/>
    </row>
    <row r="25" spans="1:10" x14ac:dyDescent="0.2">
      <c r="A25" s="30" t="s">
        <v>31</v>
      </c>
      <c r="B25" s="31"/>
      <c r="C25" s="28"/>
      <c r="D25" s="29"/>
      <c r="E25" s="29"/>
      <c r="F25" s="29">
        <f t="shared" si="0"/>
        <v>0</v>
      </c>
      <c r="G25" s="28"/>
      <c r="H25" s="28"/>
      <c r="I25" s="28"/>
      <c r="J25" s="32"/>
    </row>
    <row r="26" spans="1:10" x14ac:dyDescent="0.2">
      <c r="A26" s="30" t="s">
        <v>32</v>
      </c>
      <c r="B26" s="31"/>
      <c r="C26" s="28"/>
      <c r="D26" s="29"/>
      <c r="E26" s="29"/>
      <c r="F26" s="29">
        <f t="shared" si="0"/>
        <v>0</v>
      </c>
      <c r="G26" s="28"/>
      <c r="H26" s="28"/>
      <c r="I26" s="28"/>
      <c r="J26" s="32"/>
    </row>
    <row r="27" spans="1:10" x14ac:dyDescent="0.2">
      <c r="A27" s="30" t="s">
        <v>33</v>
      </c>
      <c r="B27" s="31"/>
      <c r="C27" s="28"/>
      <c r="D27" s="29"/>
      <c r="E27" s="29"/>
      <c r="F27" s="29">
        <f t="shared" si="0"/>
        <v>0</v>
      </c>
      <c r="G27" s="28"/>
      <c r="H27" s="28"/>
      <c r="I27" s="28"/>
      <c r="J27" s="32"/>
    </row>
    <row r="28" spans="1:10" x14ac:dyDescent="0.2">
      <c r="A28" s="27" t="s">
        <v>34</v>
      </c>
      <c r="B28" s="33"/>
      <c r="C28" s="34"/>
      <c r="D28" s="35"/>
      <c r="E28" s="35"/>
      <c r="F28" s="35">
        <f>D28*E28</f>
        <v>0</v>
      </c>
      <c r="G28" s="34"/>
      <c r="H28" s="34"/>
      <c r="I28" s="34"/>
      <c r="J28" s="36"/>
    </row>
  </sheetData>
  <phoneticPr fontId="7" type="noConversion"/>
  <conditionalFormatting sqref="F4:F28">
    <cfRule type="cellIs" dxfId="4" priority="1" operator="between">
      <formula>1</formula>
      <formula>4</formula>
    </cfRule>
    <cfRule type="cellIs" dxfId="3" priority="2" operator="between">
      <formula>5</formula>
      <formula>11</formula>
    </cfRule>
    <cfRule type="cellIs" dxfId="2" priority="3" operator="between">
      <formula>12</formula>
      <formula>25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D8499-B92B-4501-B7D4-5A672817EB98}">
  <dimension ref="A1:I28"/>
  <sheetViews>
    <sheetView tabSelected="1" zoomScale="52" workbookViewId="0">
      <selection activeCell="C17" sqref="C17"/>
    </sheetView>
  </sheetViews>
  <sheetFormatPr baseColWidth="10" defaultColWidth="8.83203125" defaultRowHeight="15" x14ac:dyDescent="0.2"/>
  <cols>
    <col min="1" max="1" width="38.6640625" customWidth="1"/>
    <col min="2" max="2" width="10.5" bestFit="1" customWidth="1"/>
    <col min="3" max="3" width="115.6640625" customWidth="1"/>
    <col min="4" max="4" width="23.6640625" customWidth="1"/>
    <col min="5" max="5" width="20.6640625" customWidth="1"/>
    <col min="6" max="6" width="79.5" customWidth="1"/>
    <col min="7" max="7" width="18.83203125" customWidth="1"/>
    <col min="8" max="8" width="28.83203125" customWidth="1"/>
    <col min="9" max="9" width="116.33203125" customWidth="1"/>
  </cols>
  <sheetData>
    <row r="1" spans="1:9" s="26" customFormat="1" ht="19" x14ac:dyDescent="0.25">
      <c r="A1" s="26" t="s">
        <v>40</v>
      </c>
      <c r="E1"/>
    </row>
    <row r="3" spans="1:9" ht="61.5" customHeight="1" x14ac:dyDescent="0.2">
      <c r="A3" s="17" t="s">
        <v>1</v>
      </c>
      <c r="B3" s="23" t="s">
        <v>0</v>
      </c>
      <c r="C3" s="17" t="s">
        <v>41</v>
      </c>
      <c r="D3" s="17" t="s">
        <v>68</v>
      </c>
      <c r="E3" s="17" t="s">
        <v>67</v>
      </c>
      <c r="F3" s="17" t="s">
        <v>42</v>
      </c>
      <c r="G3" s="17" t="s">
        <v>43</v>
      </c>
      <c r="H3" s="17" t="s">
        <v>44</v>
      </c>
      <c r="I3" s="17" t="s">
        <v>71</v>
      </c>
    </row>
    <row r="4" spans="1:9" x14ac:dyDescent="0.2">
      <c r="A4" s="4" t="s">
        <v>153</v>
      </c>
      <c r="B4" s="53">
        <v>45796</v>
      </c>
      <c r="C4" t="s">
        <v>156</v>
      </c>
      <c r="D4" s="45">
        <v>4</v>
      </c>
      <c r="E4" s="24">
        <f>D4</f>
        <v>4</v>
      </c>
      <c r="F4" t="s">
        <v>159</v>
      </c>
      <c r="G4" t="s">
        <v>162</v>
      </c>
      <c r="H4" t="s">
        <v>147</v>
      </c>
      <c r="I4" t="s">
        <v>166</v>
      </c>
    </row>
    <row r="5" spans="1:9" x14ac:dyDescent="0.2">
      <c r="A5" s="4" t="s">
        <v>154</v>
      </c>
      <c r="B5" s="54">
        <v>45796</v>
      </c>
      <c r="C5" t="s">
        <v>157</v>
      </c>
      <c r="D5" s="45">
        <v>3</v>
      </c>
      <c r="E5" s="24">
        <f t="shared" ref="E5:E28" si="0">D5</f>
        <v>3</v>
      </c>
      <c r="F5" t="s">
        <v>160</v>
      </c>
      <c r="G5" t="s">
        <v>163</v>
      </c>
      <c r="H5" t="s">
        <v>165</v>
      </c>
      <c r="I5" t="s">
        <v>170</v>
      </c>
    </row>
    <row r="6" spans="1:9" x14ac:dyDescent="0.2">
      <c r="A6" s="4" t="s">
        <v>155</v>
      </c>
      <c r="B6" s="54">
        <v>45796</v>
      </c>
      <c r="C6" t="s">
        <v>158</v>
      </c>
      <c r="D6" s="45">
        <v>4</v>
      </c>
      <c r="E6" s="24">
        <f t="shared" si="0"/>
        <v>4</v>
      </c>
      <c r="F6" t="s">
        <v>161</v>
      </c>
      <c r="G6" t="s">
        <v>164</v>
      </c>
      <c r="H6" t="s">
        <v>147</v>
      </c>
      <c r="I6" t="s">
        <v>169</v>
      </c>
    </row>
    <row r="7" spans="1:9" x14ac:dyDescent="0.2">
      <c r="A7" s="4" t="s">
        <v>45</v>
      </c>
      <c r="B7" s="18"/>
      <c r="D7" s="45"/>
      <c r="E7" s="24">
        <f t="shared" si="0"/>
        <v>0</v>
      </c>
      <c r="F7" s="44"/>
      <c r="H7" s="45"/>
      <c r="I7" s="19"/>
    </row>
    <row r="8" spans="1:9" x14ac:dyDescent="0.2">
      <c r="A8" s="4" t="s">
        <v>46</v>
      </c>
      <c r="B8" s="18"/>
      <c r="D8" s="45"/>
      <c r="E8" s="24">
        <f t="shared" si="0"/>
        <v>0</v>
      </c>
      <c r="F8" s="44"/>
      <c r="I8" s="19"/>
    </row>
    <row r="9" spans="1:9" x14ac:dyDescent="0.2">
      <c r="A9" s="4" t="s">
        <v>47</v>
      </c>
      <c r="B9" s="18"/>
      <c r="D9" s="45"/>
      <c r="E9" s="24">
        <f t="shared" si="0"/>
        <v>0</v>
      </c>
      <c r="F9" s="44"/>
      <c r="I9" s="19"/>
    </row>
    <row r="10" spans="1:9" x14ac:dyDescent="0.2">
      <c r="A10" s="4" t="s">
        <v>48</v>
      </c>
      <c r="B10" s="18"/>
      <c r="D10" s="45"/>
      <c r="E10" s="24">
        <f t="shared" si="0"/>
        <v>0</v>
      </c>
      <c r="F10" s="44"/>
      <c r="I10" s="19"/>
    </row>
    <row r="11" spans="1:9" x14ac:dyDescent="0.2">
      <c r="A11" s="4" t="s">
        <v>49</v>
      </c>
      <c r="B11" s="18"/>
      <c r="D11" s="45"/>
      <c r="E11" s="24">
        <f t="shared" si="0"/>
        <v>0</v>
      </c>
      <c r="F11" s="44"/>
      <c r="I11" s="19"/>
    </row>
    <row r="12" spans="1:9" x14ac:dyDescent="0.2">
      <c r="A12" s="4" t="s">
        <v>50</v>
      </c>
      <c r="B12" s="18"/>
      <c r="D12" s="45"/>
      <c r="E12" s="24">
        <f t="shared" si="0"/>
        <v>0</v>
      </c>
      <c r="F12" s="44"/>
      <c r="I12" s="19"/>
    </row>
    <row r="13" spans="1:9" x14ac:dyDescent="0.2">
      <c r="A13" s="4" t="s">
        <v>51</v>
      </c>
      <c r="B13" s="18"/>
      <c r="D13" s="45"/>
      <c r="E13" s="24">
        <f t="shared" si="0"/>
        <v>0</v>
      </c>
      <c r="F13" s="44"/>
      <c r="I13" s="19"/>
    </row>
    <row r="14" spans="1:9" x14ac:dyDescent="0.2">
      <c r="A14" s="4" t="s">
        <v>52</v>
      </c>
      <c r="B14" s="18"/>
      <c r="D14" s="45"/>
      <c r="E14" s="24">
        <f t="shared" si="0"/>
        <v>0</v>
      </c>
      <c r="F14" s="44"/>
      <c r="I14" s="19"/>
    </row>
    <row r="15" spans="1:9" x14ac:dyDescent="0.2">
      <c r="A15" s="4" t="s">
        <v>53</v>
      </c>
      <c r="B15" s="18"/>
      <c r="D15" s="45"/>
      <c r="E15" s="24">
        <f t="shared" si="0"/>
        <v>0</v>
      </c>
      <c r="F15" s="44"/>
      <c r="I15" s="19"/>
    </row>
    <row r="16" spans="1:9" x14ac:dyDescent="0.2">
      <c r="A16" s="4" t="s">
        <v>54</v>
      </c>
      <c r="B16" s="18"/>
      <c r="D16" s="45"/>
      <c r="E16" s="24">
        <f t="shared" si="0"/>
        <v>0</v>
      </c>
      <c r="F16" s="44"/>
      <c r="I16" s="19"/>
    </row>
    <row r="17" spans="1:9" x14ac:dyDescent="0.2">
      <c r="A17" s="4" t="s">
        <v>55</v>
      </c>
      <c r="B17" s="18"/>
      <c r="D17" s="45"/>
      <c r="E17" s="24">
        <f t="shared" si="0"/>
        <v>0</v>
      </c>
      <c r="F17" s="44"/>
      <c r="I17" s="19"/>
    </row>
    <row r="18" spans="1:9" x14ac:dyDescent="0.2">
      <c r="A18" s="4" t="s">
        <v>56</v>
      </c>
      <c r="B18" s="18"/>
      <c r="D18" s="45"/>
      <c r="E18" s="24">
        <f t="shared" si="0"/>
        <v>0</v>
      </c>
      <c r="F18" s="44"/>
      <c r="I18" s="19"/>
    </row>
    <row r="19" spans="1:9" x14ac:dyDescent="0.2">
      <c r="A19" s="4" t="s">
        <v>57</v>
      </c>
      <c r="B19" s="18"/>
      <c r="D19" s="45"/>
      <c r="E19" s="24">
        <f t="shared" si="0"/>
        <v>0</v>
      </c>
      <c r="F19" s="44"/>
      <c r="I19" s="19"/>
    </row>
    <row r="20" spans="1:9" x14ac:dyDescent="0.2">
      <c r="A20" s="4" t="s">
        <v>58</v>
      </c>
      <c r="B20" s="18"/>
      <c r="D20" s="45"/>
      <c r="E20" s="24">
        <f t="shared" si="0"/>
        <v>0</v>
      </c>
      <c r="F20" s="44"/>
      <c r="I20" s="19"/>
    </row>
    <row r="21" spans="1:9" x14ac:dyDescent="0.2">
      <c r="A21" s="4" t="s">
        <v>59</v>
      </c>
      <c r="B21" s="18"/>
      <c r="D21" s="45"/>
      <c r="E21" s="24">
        <f t="shared" si="0"/>
        <v>0</v>
      </c>
      <c r="F21" s="44"/>
      <c r="I21" s="19"/>
    </row>
    <row r="22" spans="1:9" x14ac:dyDescent="0.2">
      <c r="A22" s="4" t="s">
        <v>60</v>
      </c>
      <c r="B22" s="18"/>
      <c r="D22" s="45"/>
      <c r="E22" s="24">
        <f t="shared" si="0"/>
        <v>0</v>
      </c>
      <c r="F22" s="44"/>
      <c r="I22" s="19"/>
    </row>
    <row r="23" spans="1:9" x14ac:dyDescent="0.2">
      <c r="A23" s="4" t="s">
        <v>61</v>
      </c>
      <c r="B23" s="18"/>
      <c r="D23" s="45"/>
      <c r="E23" s="24">
        <f t="shared" si="0"/>
        <v>0</v>
      </c>
      <c r="F23" s="44"/>
      <c r="I23" s="19"/>
    </row>
    <row r="24" spans="1:9" x14ac:dyDescent="0.2">
      <c r="A24" s="4" t="s">
        <v>62</v>
      </c>
      <c r="B24" s="18"/>
      <c r="D24" s="45"/>
      <c r="E24" s="24">
        <f t="shared" si="0"/>
        <v>0</v>
      </c>
      <c r="F24" s="44"/>
      <c r="I24" s="19"/>
    </row>
    <row r="25" spans="1:9" x14ac:dyDescent="0.2">
      <c r="A25" s="4" t="s">
        <v>63</v>
      </c>
      <c r="B25" s="18"/>
      <c r="D25" s="45"/>
      <c r="E25" s="24">
        <f t="shared" si="0"/>
        <v>0</v>
      </c>
      <c r="F25" s="44"/>
      <c r="I25" s="19"/>
    </row>
    <row r="26" spans="1:9" x14ac:dyDescent="0.2">
      <c r="A26" s="4" t="s">
        <v>64</v>
      </c>
      <c r="B26" s="18"/>
      <c r="D26" s="45"/>
      <c r="E26" s="24">
        <f t="shared" si="0"/>
        <v>0</v>
      </c>
      <c r="F26" s="44"/>
      <c r="I26" s="19"/>
    </row>
    <row r="27" spans="1:9" x14ac:dyDescent="0.2">
      <c r="A27" s="4" t="s">
        <v>65</v>
      </c>
      <c r="B27" s="18"/>
      <c r="D27" s="45"/>
      <c r="E27" s="24">
        <f t="shared" si="0"/>
        <v>0</v>
      </c>
      <c r="F27" s="44"/>
      <c r="I27" s="19"/>
    </row>
    <row r="28" spans="1:9" x14ac:dyDescent="0.2">
      <c r="A28" s="4" t="s">
        <v>66</v>
      </c>
      <c r="B28" s="20"/>
      <c r="C28" s="21"/>
      <c r="D28" s="46"/>
      <c r="E28" s="25">
        <f t="shared" si="0"/>
        <v>0</v>
      </c>
      <c r="F28" s="48"/>
      <c r="G28" s="21"/>
      <c r="H28" s="21"/>
      <c r="I28" s="22"/>
    </row>
  </sheetData>
  <phoneticPr fontId="7" type="noConversion"/>
  <conditionalFormatting sqref="E4:E28">
    <cfRule type="cellIs" dxfId="1" priority="2" operator="between">
      <formula>1</formula>
      <formula>2</formula>
    </cfRule>
    <cfRule type="cellIs" dxfId="0" priority="3" operator="between">
      <formula>3</formula>
      <formula>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9049D-C23F-4F5F-A192-2CD9BA27B40E}">
  <dimension ref="B2:H4"/>
  <sheetViews>
    <sheetView showGridLines="0" workbookViewId="0">
      <selection activeCell="D27" sqref="D27"/>
    </sheetView>
  </sheetViews>
  <sheetFormatPr baseColWidth="10" defaultColWidth="8.83203125" defaultRowHeight="15" x14ac:dyDescent="0.2"/>
  <cols>
    <col min="2" max="2" width="10.33203125" bestFit="1" customWidth="1"/>
  </cols>
  <sheetData>
    <row r="2" spans="2:8" x14ac:dyDescent="0.2">
      <c r="B2" s="47"/>
      <c r="C2" s="47" t="s">
        <v>132</v>
      </c>
      <c r="D2" s="47" t="s">
        <v>133</v>
      </c>
      <c r="E2" s="47" t="s">
        <v>134</v>
      </c>
      <c r="F2" s="47" t="s">
        <v>135</v>
      </c>
      <c r="G2" s="47" t="s">
        <v>138</v>
      </c>
      <c r="H2" s="47"/>
    </row>
    <row r="3" spans="2:8" x14ac:dyDescent="0.2">
      <c r="B3" s="47" t="s">
        <v>136</v>
      </c>
      <c r="C3" s="47">
        <v>10</v>
      </c>
      <c r="D3" s="47">
        <v>10</v>
      </c>
      <c r="E3" s="47">
        <v>8</v>
      </c>
      <c r="F3" s="47">
        <v>12</v>
      </c>
      <c r="G3" s="47">
        <v>10</v>
      </c>
      <c r="H3" s="47"/>
    </row>
    <row r="4" spans="2:8" x14ac:dyDescent="0.2">
      <c r="B4" s="47" t="s">
        <v>137</v>
      </c>
      <c r="C4" s="47">
        <v>5</v>
      </c>
      <c r="D4" s="47">
        <v>10</v>
      </c>
      <c r="E4" s="47">
        <v>8</v>
      </c>
      <c r="F4" s="47">
        <v>20</v>
      </c>
      <c r="G4" s="47">
        <v>11</v>
      </c>
      <c r="H4" s="47"/>
    </row>
  </sheetData>
  <phoneticPr fontId="7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0A3AA-8879-456C-B336-BA0430D5993B}">
  <dimension ref="A1:G9"/>
  <sheetViews>
    <sheetView showGridLines="0" workbookViewId="0"/>
  </sheetViews>
  <sheetFormatPr baseColWidth="10" defaultColWidth="8.83203125" defaultRowHeight="15" x14ac:dyDescent="0.2"/>
  <cols>
    <col min="2" max="2" width="12.5" style="7" bestFit="1" customWidth="1"/>
    <col min="3" max="7" width="20.6640625" customWidth="1"/>
  </cols>
  <sheetData>
    <row r="1" spans="1:7" s="2" customFormat="1" x14ac:dyDescent="0.2">
      <c r="A1" s="2" t="s">
        <v>9</v>
      </c>
      <c r="B1" s="7"/>
    </row>
    <row r="3" spans="1:7" s="2" customFormat="1" x14ac:dyDescent="0.2">
      <c r="B3" s="7"/>
      <c r="C3" s="55" t="s">
        <v>7</v>
      </c>
      <c r="D3" s="55"/>
      <c r="E3" s="55"/>
      <c r="F3" s="55"/>
      <c r="G3" s="55"/>
    </row>
    <row r="4" spans="1:7" s="7" customFormat="1" ht="16" thickBot="1" x14ac:dyDescent="0.25">
      <c r="C4" s="7" t="s">
        <v>5</v>
      </c>
      <c r="D4" s="7" t="s">
        <v>6</v>
      </c>
      <c r="E4" s="7" t="s">
        <v>2</v>
      </c>
      <c r="F4" s="7" t="s">
        <v>3</v>
      </c>
      <c r="G4" s="7" t="s">
        <v>35</v>
      </c>
    </row>
    <row r="5" spans="1:7" ht="35" customHeight="1" x14ac:dyDescent="0.2">
      <c r="A5" s="56" t="s">
        <v>8</v>
      </c>
      <c r="B5" s="7" t="s">
        <v>4</v>
      </c>
      <c r="C5" s="8"/>
      <c r="D5" s="9"/>
      <c r="E5" s="10"/>
      <c r="F5" s="10"/>
      <c r="G5" s="11"/>
    </row>
    <row r="6" spans="1:7" ht="35" customHeight="1" x14ac:dyDescent="0.2">
      <c r="A6" s="56"/>
      <c r="B6" s="7" t="s">
        <v>3</v>
      </c>
      <c r="C6" s="12"/>
      <c r="D6" s="6"/>
      <c r="E6" s="3"/>
      <c r="F6" s="3"/>
      <c r="G6" s="13"/>
    </row>
    <row r="7" spans="1:7" ht="35" customHeight="1" x14ac:dyDescent="0.2">
      <c r="A7" s="56"/>
      <c r="B7" s="7" t="s">
        <v>2</v>
      </c>
      <c r="C7" s="12"/>
      <c r="D7" s="6"/>
      <c r="E7" s="6"/>
      <c r="F7" s="3"/>
      <c r="G7" s="13"/>
    </row>
    <row r="8" spans="1:7" ht="35" customHeight="1" x14ac:dyDescent="0.2">
      <c r="A8" s="56"/>
      <c r="B8" s="7" t="s">
        <v>6</v>
      </c>
      <c r="C8" s="12"/>
      <c r="D8" s="5"/>
      <c r="E8" s="6"/>
      <c r="F8" s="1"/>
      <c r="G8" s="13"/>
    </row>
    <row r="9" spans="1:7" ht="35" customHeight="1" thickBot="1" x14ac:dyDescent="0.25">
      <c r="A9" s="56"/>
      <c r="B9" s="7" t="s">
        <v>5</v>
      </c>
      <c r="C9" s="14"/>
      <c r="D9" s="15"/>
      <c r="E9" s="15"/>
      <c r="F9" s="15"/>
      <c r="G9" s="16"/>
    </row>
  </sheetData>
  <mergeCells count="2">
    <mergeCell ref="C3:G3"/>
    <mergeCell ref="A5:A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1b) Project Portfolio</vt:lpstr>
      <vt:lpstr>2) Kanban Board</vt:lpstr>
      <vt:lpstr>3) Risk Log</vt:lpstr>
      <vt:lpstr>4) Issue Log</vt:lpstr>
      <vt:lpstr>5) Sprint 1 - Planned vs Actual</vt:lpstr>
      <vt:lpstr>Risk Management 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tanya1</dc:creator>
  <cp:lastModifiedBy>Ryan Lartey</cp:lastModifiedBy>
  <dcterms:created xsi:type="dcterms:W3CDTF">2021-08-22T10:13:26Z</dcterms:created>
  <dcterms:modified xsi:type="dcterms:W3CDTF">2025-05-27T14:21:01Z</dcterms:modified>
</cp:coreProperties>
</file>